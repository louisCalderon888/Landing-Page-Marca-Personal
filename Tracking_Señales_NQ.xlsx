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ñales N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0F4C81"/>
      <sz val="12"/>
    </font>
  </fonts>
  <fills count="3">
    <fill>
      <patternFill/>
    </fill>
    <fill>
      <patternFill patternType="gray125"/>
    </fill>
    <fill>
      <patternFill patternType="solid">
        <fgColor rgb="000F4C81"/>
        <bgColor rgb="000F4C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5" customWidth="1" min="4" max="4"/>
    <col width="12" customWidth="1" min="5" max="5"/>
    <col width="14" customWidth="1" min="6" max="6"/>
    <col width="15" customWidth="1" min="7" max="7"/>
    <col width="18" customWidth="1" min="8" max="8"/>
    <col width="12" customWidth="1" min="9" max="9"/>
    <col width="12" customWidth="1" min="10" max="10"/>
    <col width="40" customWidth="1" min="11" max="11"/>
    <col width="18" customWidth="1" min="13" max="13"/>
    <col width="15" customWidth="1" min="14" max="14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Tipo</t>
        </is>
      </c>
      <c r="D1" s="1" t="inlineStr">
        <is>
          <t>Precio Entrada</t>
        </is>
      </c>
      <c r="E1" s="1" t="inlineStr">
        <is>
          <t>Stop Loss</t>
        </is>
      </c>
      <c r="F1" s="1" t="inlineStr">
        <is>
          <t>Take Profit</t>
        </is>
      </c>
      <c r="G1" s="1" t="inlineStr">
        <is>
          <t>Precio Salida</t>
        </is>
      </c>
      <c r="H1" s="1" t="inlineStr">
        <is>
          <t>Resultado (Puntos)</t>
        </is>
      </c>
      <c r="I1" s="1" t="inlineStr">
        <is>
          <t>R-Multiple</t>
        </is>
      </c>
      <c r="J1" s="1" t="inlineStr">
        <is>
          <t>Estado</t>
        </is>
      </c>
      <c r="K1" s="1" t="inlineStr">
        <is>
          <t>Notas</t>
        </is>
      </c>
    </row>
    <row r="2">
      <c r="A2" s="2" t="inlineStr">
        <is>
          <t>2026-01-31</t>
        </is>
      </c>
      <c r="B2" s="2" t="inlineStr">
        <is>
          <t>09:30</t>
        </is>
      </c>
      <c r="C2" s="2" t="inlineStr">
        <is>
          <t>LONG</t>
        </is>
      </c>
      <c r="D2" s="3" t="n">
        <v>19500</v>
      </c>
      <c r="E2" s="3" t="n">
        <v>19450</v>
      </c>
      <c r="F2" s="3" t="n">
        <v>19600</v>
      </c>
      <c r="G2" s="3" t="n">
        <v>19600</v>
      </c>
      <c r="H2" s="3">
        <f>IF(G2="","",IF(C2="LONG",G2-D2,IF(C2="SHORT",D2-G2,0)))</f>
        <v/>
      </c>
      <c r="I2" s="2">
        <f>IF(H2="","",ROUND(H2/ABS(D2-E2),2)&amp;"R")</f>
        <v/>
      </c>
      <c r="J2" s="2" t="inlineStr">
        <is>
          <t>GANANCIA</t>
        </is>
      </c>
      <c r="K2" s="4" t="inlineStr">
        <is>
          <t>Ruptura de resistencia</t>
        </is>
      </c>
      <c r="M2" s="5" t="inlineStr">
        <is>
          <t>ESTADÍSTICAS</t>
        </is>
      </c>
      <c r="N2" s="6" t="n"/>
    </row>
    <row r="3">
      <c r="A3" s="2" t="inlineStr">
        <is>
          <t>2026-01-30</t>
        </is>
      </c>
      <c r="B3" s="2" t="inlineStr">
        <is>
          <t>14:15</t>
        </is>
      </c>
      <c r="C3" s="2" t="inlineStr">
        <is>
          <t>SHORT</t>
        </is>
      </c>
      <c r="D3" s="3" t="n">
        <v>20100</v>
      </c>
      <c r="E3" s="3" t="n">
        <v>20150</v>
      </c>
      <c r="F3" s="3" t="n">
        <v>20000</v>
      </c>
      <c r="G3" s="3" t="n">
        <v>20000</v>
      </c>
      <c r="H3" s="3">
        <f>IF(G3="","",IF(C3="LONG",G3-D3,IF(C3="SHORT",D3-G3,0)))</f>
        <v/>
      </c>
      <c r="I3" s="2">
        <f>IF(H3="","",ROUND(H3/ABS(D3-E3),2)&amp;"R")</f>
        <v/>
      </c>
      <c r="J3" s="2" t="inlineStr">
        <is>
          <t>GANANCIA</t>
        </is>
      </c>
      <c r="K3" s="4" t="inlineStr">
        <is>
          <t>Rechazo en máximo</t>
        </is>
      </c>
      <c r="M3" s="7" t="inlineStr">
        <is>
          <t>Total Señales:</t>
        </is>
      </c>
      <c r="N3" s="8">
        <f>COUNTA(J2:J100)-COUNTIF(J2:J100,"")</f>
        <v/>
      </c>
    </row>
    <row r="4">
      <c r="A4" s="2" t="inlineStr">
        <is>
          <t>2026-01-29</t>
        </is>
      </c>
      <c r="B4" s="2" t="inlineStr">
        <is>
          <t>10:00</t>
        </is>
      </c>
      <c r="C4" s="2" t="inlineStr">
        <is>
          <t>LONG</t>
        </is>
      </c>
      <c r="D4" s="3" t="n">
        <v>19800</v>
      </c>
      <c r="E4" s="3" t="n">
        <v>19750</v>
      </c>
      <c r="F4" s="3" t="n">
        <v>19900</v>
      </c>
      <c r="G4" s="3" t="inlineStr"/>
      <c r="H4" s="3">
        <f>IF(G4="","",IF(C4="LONG",G4-D4,IF(C4="SHORT",D4-G4,0)))</f>
        <v/>
      </c>
      <c r="I4" s="2">
        <f>IF(H4="","",ROUND(H4/ABS(D4-E4),2)&amp;"R")</f>
        <v/>
      </c>
      <c r="J4" s="2" t="inlineStr">
        <is>
          <t>PENDIENTE</t>
        </is>
      </c>
      <c r="K4" s="4" t="inlineStr">
        <is>
          <t>Esperando cierre</t>
        </is>
      </c>
      <c r="M4" s="7" t="inlineStr">
        <is>
          <t>Señales Cerradas:</t>
        </is>
      </c>
      <c r="N4" s="8">
        <f>COUNTIFS(J2:J100,"GANANCIA")+COUNTIFS(J2:J100,"PERDIDA")+COUNTIFS(J2:J100,"BREAKEVEN")</f>
        <v/>
      </c>
    </row>
    <row r="5">
      <c r="D5" s="9" t="n"/>
      <c r="E5" s="9" t="n"/>
      <c r="F5" s="9" t="n"/>
      <c r="G5" s="9" t="n"/>
      <c r="H5" s="9">
        <f>IF(G5="","",IF(C5="LONG",G5-D5,IF(C5="SHORT",D5-G5,0)))</f>
        <v/>
      </c>
      <c r="I5">
        <f>IF(H5="","",ROUND(H5/ABS(D5-E5),2)&amp;"R")</f>
        <v/>
      </c>
      <c r="M5" s="7" t="inlineStr">
        <is>
          <t>Win Rate:</t>
        </is>
      </c>
      <c r="N5" s="8">
        <f>IF(N4=0,"0%",ROUND(COUNTIF(J2:J100,"GANANCIA")/N4*100,1)&amp;"%")</f>
        <v/>
      </c>
    </row>
    <row r="6">
      <c r="D6" s="9" t="n"/>
      <c r="E6" s="9" t="n"/>
      <c r="F6" s="9" t="n"/>
      <c r="G6" s="9" t="n"/>
      <c r="H6" s="9">
        <f>IF(G6="","",IF(C6="LONG",G6-D6,IF(C6="SHORT",D6-G6,0)))</f>
        <v/>
      </c>
      <c r="I6">
        <f>IF(H6="","",ROUND(H6/ABS(D6-E6),2)&amp;"R")</f>
        <v/>
      </c>
      <c r="M6" s="7" t="inlineStr">
        <is>
          <t>Promedio R:</t>
        </is>
      </c>
      <c r="N6" s="8">
        <f>IF(N4=0,0,ROUND(SUMPRODUCT((J2:J100="GANANCIA")+(J2:J100="PERDIDA")+(J2:J100="BREAKEVEN"),H2:H100)/N4,2))</f>
        <v/>
      </c>
    </row>
    <row r="7">
      <c r="D7" s="9" t="n"/>
      <c r="E7" s="9" t="n"/>
      <c r="F7" s="9" t="n"/>
      <c r="G7" s="9" t="n"/>
      <c r="H7" s="9">
        <f>IF(G7="","",IF(C7="LONG",G7-D7,IF(C7="SHORT",D7-G7,0)))</f>
        <v/>
      </c>
      <c r="I7">
        <f>IF(H7="","",ROUND(H7/ABS(D7-E7),2)&amp;"R")</f>
        <v/>
      </c>
      <c r="M7" s="7" t="inlineStr">
        <is>
          <t>Total Puntos:</t>
        </is>
      </c>
      <c r="N7" s="8">
        <f>SUMIFS(H2:H100,J2:J100,"GANANCIA")+SUMIFS(H2:H100,J2:J100,"PERDIDA")+SUMIFS(H2:H100,J2:J100,"BREAKEVEN")</f>
        <v/>
      </c>
    </row>
    <row r="8">
      <c r="D8" s="9" t="n"/>
      <c r="E8" s="9" t="n"/>
      <c r="F8" s="9" t="n"/>
      <c r="G8" s="9" t="n"/>
      <c r="H8" s="9">
        <f>IF(G8="","",IF(C8="LONG",G8-D8,IF(C8="SHORT",D8-G8,0)))</f>
        <v/>
      </c>
      <c r="I8">
        <f>IF(H8="","",ROUND(H8/ABS(D8-E8),2)&amp;"R")</f>
        <v/>
      </c>
      <c r="M8" s="7" t="inlineStr">
        <is>
          <t>Max Ganancia:</t>
        </is>
      </c>
      <c r="N8" s="8">
        <f>IF(COUNT(H2:H100)=0,0,MAX(H2:H100))</f>
        <v/>
      </c>
    </row>
    <row r="9">
      <c r="D9" s="9" t="n"/>
      <c r="E9" s="9" t="n"/>
      <c r="F9" s="9" t="n"/>
      <c r="G9" s="9" t="n"/>
      <c r="H9" s="9">
        <f>IF(G9="","",IF(C9="LONG",G9-D9,IF(C9="SHORT",D9-G9,0)))</f>
        <v/>
      </c>
      <c r="I9">
        <f>IF(H9="","",ROUND(H9/ABS(D9-E9),2)&amp;"R")</f>
        <v/>
      </c>
      <c r="M9" s="7" t="inlineStr">
        <is>
          <t>Max Pérdida:</t>
        </is>
      </c>
      <c r="N9" s="8">
        <f>IF(COUNT(H2:H100)=0,0,MIN(H2:H100))</f>
        <v/>
      </c>
    </row>
    <row r="10">
      <c r="D10" s="9" t="n"/>
      <c r="E10" s="9" t="n"/>
      <c r="F10" s="9" t="n"/>
      <c r="G10" s="9" t="n"/>
      <c r="H10" s="9">
        <f>IF(G10="","",IF(C10="LONG",G10-D10,IF(C10="SHORT",D10-G10,0)))</f>
        <v/>
      </c>
      <c r="I10">
        <f>IF(H10="","",ROUND(H10/ABS(D10-E10),2)&amp;"R")</f>
        <v/>
      </c>
    </row>
    <row r="11">
      <c r="D11" s="9" t="n"/>
      <c r="E11" s="9" t="n"/>
      <c r="F11" s="9" t="n"/>
      <c r="G11" s="9" t="n"/>
      <c r="H11" s="9">
        <f>IF(G11="","",IF(C11="LONG",G11-D11,IF(C11="SHORT",D11-G11,0)))</f>
        <v/>
      </c>
      <c r="I11">
        <f>IF(H11="","",ROUND(H11/ABS(D11-E11),2)&amp;"R")</f>
        <v/>
      </c>
    </row>
    <row r="12">
      <c r="D12" s="9" t="n"/>
      <c r="E12" s="9" t="n"/>
      <c r="F12" s="9" t="n"/>
      <c r="G12" s="9" t="n"/>
      <c r="H12" s="9">
        <f>IF(G12="","",IF(C12="LONG",G12-D12,IF(C12="SHORT",D12-G12,0)))</f>
        <v/>
      </c>
      <c r="I12">
        <f>IF(H12="","",ROUND(H12/ABS(D12-E12),2)&amp;"R")</f>
        <v/>
      </c>
    </row>
    <row r="13">
      <c r="D13" s="9" t="n"/>
      <c r="E13" s="9" t="n"/>
      <c r="F13" s="9" t="n"/>
      <c r="G13" s="9" t="n"/>
      <c r="H13" s="9">
        <f>IF(G13="","",IF(C13="LONG",G13-D13,IF(C13="SHORT",D13-G13,0)))</f>
        <v/>
      </c>
      <c r="I13">
        <f>IF(H13="","",ROUND(H13/ABS(D13-E13),2)&amp;"R")</f>
        <v/>
      </c>
    </row>
    <row r="14">
      <c r="D14" s="9" t="n"/>
      <c r="E14" s="9" t="n"/>
      <c r="F14" s="9" t="n"/>
      <c r="G14" s="9" t="n"/>
      <c r="H14" s="9">
        <f>IF(G14="","",IF(C14="LONG",G14-D14,IF(C14="SHORT",D14-G14,0)))</f>
        <v/>
      </c>
      <c r="I14">
        <f>IF(H14="","",ROUND(H14/ABS(D14-E14),2)&amp;"R")</f>
        <v/>
      </c>
    </row>
    <row r="15">
      <c r="D15" s="9" t="n"/>
      <c r="E15" s="9" t="n"/>
      <c r="F15" s="9" t="n"/>
      <c r="G15" s="9" t="n"/>
      <c r="H15" s="9">
        <f>IF(G15="","",IF(C15="LONG",G15-D15,IF(C15="SHORT",D15-G15,0)))</f>
        <v/>
      </c>
      <c r="I15">
        <f>IF(H15="","",ROUND(H15/ABS(D15-E15),2)&amp;"R")</f>
        <v/>
      </c>
    </row>
    <row r="16">
      <c r="D16" s="9" t="n"/>
      <c r="E16" s="9" t="n"/>
      <c r="F16" s="9" t="n"/>
      <c r="G16" s="9" t="n"/>
      <c r="H16" s="9">
        <f>IF(G16="","",IF(C16="LONG",G16-D16,IF(C16="SHORT",D16-G16,0)))</f>
        <v/>
      </c>
      <c r="I16">
        <f>IF(H16="","",ROUND(H16/ABS(D16-E16),2)&amp;"R")</f>
        <v/>
      </c>
    </row>
    <row r="17">
      <c r="D17" s="9" t="n"/>
      <c r="E17" s="9" t="n"/>
      <c r="F17" s="9" t="n"/>
      <c r="G17" s="9" t="n"/>
      <c r="H17" s="9">
        <f>IF(G17="","",IF(C17="LONG",G17-D17,IF(C17="SHORT",D17-G17,0)))</f>
        <v/>
      </c>
      <c r="I17">
        <f>IF(H17="","",ROUND(H17/ABS(D17-E17),2)&amp;"R")</f>
        <v/>
      </c>
    </row>
    <row r="18">
      <c r="D18" s="9" t="n"/>
      <c r="E18" s="9" t="n"/>
      <c r="F18" s="9" t="n"/>
      <c r="G18" s="9" t="n"/>
      <c r="H18" s="9">
        <f>IF(G18="","",IF(C18="LONG",G18-D18,IF(C18="SHORT",D18-G18,0)))</f>
        <v/>
      </c>
      <c r="I18">
        <f>IF(H18="","",ROUND(H18/ABS(D18-E18),2)&amp;"R")</f>
        <v/>
      </c>
    </row>
    <row r="19">
      <c r="D19" s="9" t="n"/>
      <c r="E19" s="9" t="n"/>
      <c r="F19" s="9" t="n"/>
      <c r="G19" s="9" t="n"/>
      <c r="H19" s="9">
        <f>IF(G19="","",IF(C19="LONG",G19-D19,IF(C19="SHORT",D19-G19,0)))</f>
        <v/>
      </c>
      <c r="I19">
        <f>IF(H19="","",ROUND(H19/ABS(D19-E19),2)&amp;"R")</f>
        <v/>
      </c>
    </row>
    <row r="20">
      <c r="D20" s="9" t="n"/>
      <c r="E20" s="9" t="n"/>
      <c r="F20" s="9" t="n"/>
      <c r="G20" s="9" t="n"/>
      <c r="H20" s="9">
        <f>IF(G20="","",IF(C20="LONG",G20-D20,IF(C20="SHORT",D20-G20,0)))</f>
        <v/>
      </c>
      <c r="I20">
        <f>IF(H20="","",ROUND(H20/ABS(D20-E20),2)&amp;"R")</f>
        <v/>
      </c>
    </row>
    <row r="21">
      <c r="D21" s="9" t="n"/>
      <c r="E21" s="9" t="n"/>
      <c r="F21" s="9" t="n"/>
      <c r="G21" s="9" t="n"/>
      <c r="H21" s="9">
        <f>IF(G21="","",IF(C21="LONG",G21-D21,IF(C21="SHORT",D21-G21,0)))</f>
        <v/>
      </c>
      <c r="I21">
        <f>IF(H21="","",ROUND(H21/ABS(D21-E21),2)&amp;"R")</f>
        <v/>
      </c>
    </row>
    <row r="22">
      <c r="D22" s="9" t="n"/>
      <c r="E22" s="9" t="n"/>
      <c r="F22" s="9" t="n"/>
      <c r="G22" s="9" t="n"/>
      <c r="H22" s="9">
        <f>IF(G22="","",IF(C22="LONG",G22-D22,IF(C22="SHORT",D22-G22,0)))</f>
        <v/>
      </c>
      <c r="I22">
        <f>IF(H22="","",ROUND(H22/ABS(D22-E22),2)&amp;"R")</f>
        <v/>
      </c>
    </row>
    <row r="23">
      <c r="D23" s="9" t="n"/>
      <c r="E23" s="9" t="n"/>
      <c r="F23" s="9" t="n"/>
      <c r="G23" s="9" t="n"/>
      <c r="H23" s="9">
        <f>IF(G23="","",IF(C23="LONG",G23-D23,IF(C23="SHORT",D23-G23,0)))</f>
        <v/>
      </c>
      <c r="I23">
        <f>IF(H23="","",ROUND(H23/ABS(D23-E23),2)&amp;"R")</f>
        <v/>
      </c>
    </row>
    <row r="24">
      <c r="D24" s="9" t="n"/>
      <c r="E24" s="9" t="n"/>
      <c r="F24" s="9" t="n"/>
      <c r="G24" s="9" t="n"/>
      <c r="H24" s="9">
        <f>IF(G24="","",IF(C24="LONG",G24-D24,IF(C24="SHORT",D24-G24,0)))</f>
        <v/>
      </c>
      <c r="I24">
        <f>IF(H24="","",ROUND(H24/ABS(D24-E24),2)&amp;"R")</f>
        <v/>
      </c>
    </row>
    <row r="25">
      <c r="D25" s="9" t="n"/>
      <c r="E25" s="9" t="n"/>
      <c r="F25" s="9" t="n"/>
      <c r="G25" s="9" t="n"/>
      <c r="H25" s="9">
        <f>IF(G25="","",IF(C25="LONG",G25-D25,IF(C25="SHORT",D25-G25,0)))</f>
        <v/>
      </c>
      <c r="I25">
        <f>IF(H25="","",ROUND(H25/ABS(D25-E25),2)&amp;"R")</f>
        <v/>
      </c>
    </row>
    <row r="26">
      <c r="D26" s="9" t="n"/>
      <c r="E26" s="9" t="n"/>
      <c r="F26" s="9" t="n"/>
      <c r="G26" s="9" t="n"/>
      <c r="H26" s="9">
        <f>IF(G26="","",IF(C26="LONG",G26-D26,IF(C26="SHORT",D26-G26,0)))</f>
        <v/>
      </c>
      <c r="I26">
        <f>IF(H26="","",ROUND(H26/ABS(D26-E26),2)&amp;"R")</f>
        <v/>
      </c>
    </row>
    <row r="27">
      <c r="D27" s="9" t="n"/>
      <c r="E27" s="9" t="n"/>
      <c r="F27" s="9" t="n"/>
      <c r="G27" s="9" t="n"/>
      <c r="H27" s="9">
        <f>IF(G27="","",IF(C27="LONG",G27-D27,IF(C27="SHORT",D27-G27,0)))</f>
        <v/>
      </c>
      <c r="I27">
        <f>IF(H27="","",ROUND(H27/ABS(D27-E27),2)&amp;"R")</f>
        <v/>
      </c>
    </row>
    <row r="28">
      <c r="D28" s="9" t="n"/>
      <c r="E28" s="9" t="n"/>
      <c r="F28" s="9" t="n"/>
      <c r="G28" s="9" t="n"/>
      <c r="H28" s="9">
        <f>IF(G28="","",IF(C28="LONG",G28-D28,IF(C28="SHORT",D28-G28,0)))</f>
        <v/>
      </c>
      <c r="I28">
        <f>IF(H28="","",ROUND(H28/ABS(D28-E28),2)&amp;"R")</f>
        <v/>
      </c>
    </row>
    <row r="29">
      <c r="D29" s="9" t="n"/>
      <c r="E29" s="9" t="n"/>
      <c r="F29" s="9" t="n"/>
      <c r="G29" s="9" t="n"/>
      <c r="H29" s="9">
        <f>IF(G29="","",IF(C29="LONG",G29-D29,IF(C29="SHORT",D29-G29,0)))</f>
        <v/>
      </c>
      <c r="I29">
        <f>IF(H29="","",ROUND(H29/ABS(D29-E29),2)&amp;"R")</f>
        <v/>
      </c>
    </row>
    <row r="30">
      <c r="D30" s="9" t="n"/>
      <c r="E30" s="9" t="n"/>
      <c r="F30" s="9" t="n"/>
      <c r="G30" s="9" t="n"/>
      <c r="H30" s="9">
        <f>IF(G30="","",IF(C30="LONG",G30-D30,IF(C30="SHORT",D30-G30,0)))</f>
        <v/>
      </c>
      <c r="I30">
        <f>IF(H30="","",ROUND(H30/ABS(D30-E30),2)&amp;"R")</f>
        <v/>
      </c>
    </row>
    <row r="31">
      <c r="D31" s="9" t="n"/>
      <c r="E31" s="9" t="n"/>
      <c r="F31" s="9" t="n"/>
      <c r="G31" s="9" t="n"/>
      <c r="H31" s="9">
        <f>IF(G31="","",IF(C31="LONG",G31-D31,IF(C31="SHORT",D31-G31,0)))</f>
        <v/>
      </c>
      <c r="I31">
        <f>IF(H31="","",ROUND(H31/ABS(D31-E31),2)&amp;"R")</f>
        <v/>
      </c>
    </row>
    <row r="32">
      <c r="D32" s="9" t="n"/>
      <c r="E32" s="9" t="n"/>
      <c r="F32" s="9" t="n"/>
      <c r="G32" s="9" t="n"/>
      <c r="H32" s="9">
        <f>IF(G32="","",IF(C32="LONG",G32-D32,IF(C32="SHORT",D32-G32,0)))</f>
        <v/>
      </c>
      <c r="I32">
        <f>IF(H32="","",ROUND(H32/ABS(D32-E32),2)&amp;"R")</f>
        <v/>
      </c>
    </row>
    <row r="33">
      <c r="D33" s="9" t="n"/>
      <c r="E33" s="9" t="n"/>
      <c r="F33" s="9" t="n"/>
      <c r="G33" s="9" t="n"/>
      <c r="H33" s="9">
        <f>IF(G33="","",IF(C33="LONG",G33-D33,IF(C33="SHORT",D33-G33,0)))</f>
        <v/>
      </c>
      <c r="I33">
        <f>IF(H33="","",ROUND(H33/ABS(D33-E33),2)&amp;"R")</f>
        <v/>
      </c>
    </row>
    <row r="34">
      <c r="D34" s="9" t="n"/>
      <c r="E34" s="9" t="n"/>
      <c r="F34" s="9" t="n"/>
      <c r="G34" s="9" t="n"/>
      <c r="H34" s="9">
        <f>IF(G34="","",IF(C34="LONG",G34-D34,IF(C34="SHORT",D34-G34,0)))</f>
        <v/>
      </c>
      <c r="I34">
        <f>IF(H34="","",ROUND(H34/ABS(D34-E34),2)&amp;"R")</f>
        <v/>
      </c>
    </row>
    <row r="35">
      <c r="D35" s="9" t="n"/>
      <c r="E35" s="9" t="n"/>
      <c r="F35" s="9" t="n"/>
      <c r="G35" s="9" t="n"/>
      <c r="H35" s="9">
        <f>IF(G35="","",IF(C35="LONG",G35-D35,IF(C35="SHORT",D35-G35,0)))</f>
        <v/>
      </c>
      <c r="I35">
        <f>IF(H35="","",ROUND(H35/ABS(D35-E35),2)&amp;"R")</f>
        <v/>
      </c>
    </row>
    <row r="36">
      <c r="D36" s="9" t="n"/>
      <c r="E36" s="9" t="n"/>
      <c r="F36" s="9" t="n"/>
      <c r="G36" s="9" t="n"/>
      <c r="H36" s="9">
        <f>IF(G36="","",IF(C36="LONG",G36-D36,IF(C36="SHORT",D36-G36,0)))</f>
        <v/>
      </c>
      <c r="I36">
        <f>IF(H36="","",ROUND(H36/ABS(D36-E36),2)&amp;"R")</f>
        <v/>
      </c>
    </row>
    <row r="37">
      <c r="D37" s="9" t="n"/>
      <c r="E37" s="9" t="n"/>
      <c r="F37" s="9" t="n"/>
      <c r="G37" s="9" t="n"/>
      <c r="H37" s="9">
        <f>IF(G37="","",IF(C37="LONG",G37-D37,IF(C37="SHORT",D37-G37,0)))</f>
        <v/>
      </c>
      <c r="I37">
        <f>IF(H37="","",ROUND(H37/ABS(D37-E37),2)&amp;"R")</f>
        <v/>
      </c>
    </row>
    <row r="38">
      <c r="D38" s="9" t="n"/>
      <c r="E38" s="9" t="n"/>
      <c r="F38" s="9" t="n"/>
      <c r="G38" s="9" t="n"/>
      <c r="H38" s="9">
        <f>IF(G38="","",IF(C38="LONG",G38-D38,IF(C38="SHORT",D38-G38,0)))</f>
        <v/>
      </c>
      <c r="I38">
        <f>IF(H38="","",ROUND(H38/ABS(D38-E38),2)&amp;"R")</f>
        <v/>
      </c>
    </row>
    <row r="39">
      <c r="D39" s="9" t="n"/>
      <c r="E39" s="9" t="n"/>
      <c r="F39" s="9" t="n"/>
      <c r="G39" s="9" t="n"/>
      <c r="H39" s="9">
        <f>IF(G39="","",IF(C39="LONG",G39-D39,IF(C39="SHORT",D39-G39,0)))</f>
        <v/>
      </c>
      <c r="I39">
        <f>IF(H39="","",ROUND(H39/ABS(D39-E39),2)&amp;"R")</f>
        <v/>
      </c>
    </row>
    <row r="40">
      <c r="D40" s="9" t="n"/>
      <c r="E40" s="9" t="n"/>
      <c r="F40" s="9" t="n"/>
      <c r="G40" s="9" t="n"/>
      <c r="H40" s="9">
        <f>IF(G40="","",IF(C40="LONG",G40-D40,IF(C40="SHORT",D40-G40,0)))</f>
        <v/>
      </c>
      <c r="I40">
        <f>IF(H40="","",ROUND(H40/ABS(D40-E40),2)&amp;"R")</f>
        <v/>
      </c>
    </row>
    <row r="41">
      <c r="D41" s="9" t="n"/>
      <c r="E41" s="9" t="n"/>
      <c r="F41" s="9" t="n"/>
      <c r="G41" s="9" t="n"/>
      <c r="H41" s="9">
        <f>IF(G41="","",IF(C41="LONG",G41-D41,IF(C41="SHORT",D41-G41,0)))</f>
        <v/>
      </c>
      <c r="I41">
        <f>IF(H41="","",ROUND(H41/ABS(D41-E41),2)&amp;"R")</f>
        <v/>
      </c>
    </row>
    <row r="42">
      <c r="D42" s="9" t="n"/>
      <c r="E42" s="9" t="n"/>
      <c r="F42" s="9" t="n"/>
      <c r="G42" s="9" t="n"/>
      <c r="H42" s="9">
        <f>IF(G42="","",IF(C42="LONG",G42-D42,IF(C42="SHORT",D42-G42,0)))</f>
        <v/>
      </c>
      <c r="I42">
        <f>IF(H42="","",ROUND(H42/ABS(D42-E42),2)&amp;"R")</f>
        <v/>
      </c>
    </row>
    <row r="43">
      <c r="D43" s="9" t="n"/>
      <c r="E43" s="9" t="n"/>
      <c r="F43" s="9" t="n"/>
      <c r="G43" s="9" t="n"/>
      <c r="H43" s="9">
        <f>IF(G43="","",IF(C43="LONG",G43-D43,IF(C43="SHORT",D43-G43,0)))</f>
        <v/>
      </c>
      <c r="I43">
        <f>IF(H43="","",ROUND(H43/ABS(D43-E43),2)&amp;"R")</f>
        <v/>
      </c>
    </row>
    <row r="44">
      <c r="D44" s="9" t="n"/>
      <c r="E44" s="9" t="n"/>
      <c r="F44" s="9" t="n"/>
      <c r="G44" s="9" t="n"/>
      <c r="H44" s="9">
        <f>IF(G44="","",IF(C44="LONG",G44-D44,IF(C44="SHORT",D44-G44,0)))</f>
        <v/>
      </c>
      <c r="I44">
        <f>IF(H44="","",ROUND(H44/ABS(D44-E44),2)&amp;"R")</f>
        <v/>
      </c>
    </row>
    <row r="45">
      <c r="D45" s="9" t="n"/>
      <c r="E45" s="9" t="n"/>
      <c r="F45" s="9" t="n"/>
      <c r="G45" s="9" t="n"/>
      <c r="H45" s="9">
        <f>IF(G45="","",IF(C45="LONG",G45-D45,IF(C45="SHORT",D45-G45,0)))</f>
        <v/>
      </c>
      <c r="I45">
        <f>IF(H45="","",ROUND(H45/ABS(D45-E45),2)&amp;"R")</f>
        <v/>
      </c>
    </row>
    <row r="46">
      <c r="D46" s="9" t="n"/>
      <c r="E46" s="9" t="n"/>
      <c r="F46" s="9" t="n"/>
      <c r="G46" s="9" t="n"/>
      <c r="H46" s="9">
        <f>IF(G46="","",IF(C46="LONG",G46-D46,IF(C46="SHORT",D46-G46,0)))</f>
        <v/>
      </c>
      <c r="I46">
        <f>IF(H46="","",ROUND(H46/ABS(D46-E46),2)&amp;"R")</f>
        <v/>
      </c>
    </row>
    <row r="47">
      <c r="D47" s="9" t="n"/>
      <c r="E47" s="9" t="n"/>
      <c r="F47" s="9" t="n"/>
      <c r="G47" s="9" t="n"/>
      <c r="H47" s="9">
        <f>IF(G47="","",IF(C47="LONG",G47-D47,IF(C47="SHORT",D47-G47,0)))</f>
        <v/>
      </c>
      <c r="I47">
        <f>IF(H47="","",ROUND(H47/ABS(D47-E47),2)&amp;"R")</f>
        <v/>
      </c>
    </row>
    <row r="48">
      <c r="D48" s="9" t="n"/>
      <c r="E48" s="9" t="n"/>
      <c r="F48" s="9" t="n"/>
      <c r="G48" s="9" t="n"/>
      <c r="H48" s="9">
        <f>IF(G48="","",IF(C48="LONG",G48-D48,IF(C48="SHORT",D48-G48,0)))</f>
        <v/>
      </c>
      <c r="I48">
        <f>IF(H48="","",ROUND(H48/ABS(D48-E48),2)&amp;"R")</f>
        <v/>
      </c>
    </row>
    <row r="49">
      <c r="D49" s="9" t="n"/>
      <c r="E49" s="9" t="n"/>
      <c r="F49" s="9" t="n"/>
      <c r="G49" s="9" t="n"/>
      <c r="H49" s="9">
        <f>IF(G49="","",IF(C49="LONG",G49-D49,IF(C49="SHORT",D49-G49,0)))</f>
        <v/>
      </c>
      <c r="I49">
        <f>IF(H49="","",ROUND(H49/ABS(D49-E49),2)&amp;"R")</f>
        <v/>
      </c>
    </row>
    <row r="50">
      <c r="D50" s="9" t="n"/>
      <c r="E50" s="9" t="n"/>
      <c r="F50" s="9" t="n"/>
      <c r="G50" s="9" t="n"/>
      <c r="H50" s="9">
        <f>IF(G50="","",IF(C50="LONG",G50-D50,IF(C50="SHORT",D50-G50,0)))</f>
        <v/>
      </c>
      <c r="I50">
        <f>IF(H50="","",ROUND(H50/ABS(D50-E50),2)&amp;"R")</f>
        <v/>
      </c>
    </row>
    <row r="51">
      <c r="D51" s="9" t="n"/>
      <c r="E51" s="9" t="n"/>
      <c r="F51" s="9" t="n"/>
      <c r="G51" s="9" t="n"/>
      <c r="H51" s="9">
        <f>IF(G51="","",IF(C51="LONG",G51-D51,IF(C51="SHORT",D51-G51,0)))</f>
        <v/>
      </c>
      <c r="I51">
        <f>IF(H51="","",ROUND(H51/ABS(D51-E51),2)&amp;"R")</f>
        <v/>
      </c>
    </row>
    <row r="52">
      <c r="D52" s="9" t="n"/>
      <c r="E52" s="9" t="n"/>
      <c r="F52" s="9" t="n"/>
      <c r="G52" s="9" t="n"/>
      <c r="H52" s="9">
        <f>IF(G52="","",IF(C52="LONG",G52-D52,IF(C52="SHORT",D52-G52,0)))</f>
        <v/>
      </c>
      <c r="I52">
        <f>IF(H52="","",ROUND(H52/ABS(D52-E52),2)&amp;"R")</f>
        <v/>
      </c>
    </row>
    <row r="53">
      <c r="D53" s="9" t="n"/>
      <c r="E53" s="9" t="n"/>
      <c r="F53" s="9" t="n"/>
      <c r="G53" s="9" t="n"/>
      <c r="H53" s="9">
        <f>IF(G53="","",IF(C53="LONG",G53-D53,IF(C53="SHORT",D53-G53,0)))</f>
        <v/>
      </c>
      <c r="I53">
        <f>IF(H53="","",ROUND(H53/ABS(D53-E53),2)&amp;"R")</f>
        <v/>
      </c>
    </row>
    <row r="54">
      <c r="D54" s="9" t="n"/>
      <c r="E54" s="9" t="n"/>
      <c r="F54" s="9" t="n"/>
      <c r="G54" s="9" t="n"/>
      <c r="H54" s="9">
        <f>IF(G54="","",IF(C54="LONG",G54-D54,IF(C54="SHORT",D54-G54,0)))</f>
        <v/>
      </c>
      <c r="I54">
        <f>IF(H54="","",ROUND(H54/ABS(D54-E54),2)&amp;"R")</f>
        <v/>
      </c>
    </row>
    <row r="55">
      <c r="D55" s="9" t="n"/>
      <c r="E55" s="9" t="n"/>
      <c r="F55" s="9" t="n"/>
      <c r="G55" s="9" t="n"/>
      <c r="H55" s="9">
        <f>IF(G55="","",IF(C55="LONG",G55-D55,IF(C55="SHORT",D55-G55,0)))</f>
        <v/>
      </c>
      <c r="I55">
        <f>IF(H55="","",ROUND(H55/ABS(D55-E55),2)&amp;"R")</f>
        <v/>
      </c>
    </row>
    <row r="56">
      <c r="D56" s="9" t="n"/>
      <c r="E56" s="9" t="n"/>
      <c r="F56" s="9" t="n"/>
      <c r="G56" s="9" t="n"/>
      <c r="H56" s="9">
        <f>IF(G56="","",IF(C56="LONG",G56-D56,IF(C56="SHORT",D56-G56,0)))</f>
        <v/>
      </c>
      <c r="I56">
        <f>IF(H56="","",ROUND(H56/ABS(D56-E56),2)&amp;"R")</f>
        <v/>
      </c>
    </row>
    <row r="57">
      <c r="D57" s="9" t="n"/>
      <c r="E57" s="9" t="n"/>
      <c r="F57" s="9" t="n"/>
      <c r="G57" s="9" t="n"/>
      <c r="H57" s="9">
        <f>IF(G57="","",IF(C57="LONG",G57-D57,IF(C57="SHORT",D57-G57,0)))</f>
        <v/>
      </c>
      <c r="I57">
        <f>IF(H57="","",ROUND(H57/ABS(D57-E57),2)&amp;"R")</f>
        <v/>
      </c>
    </row>
    <row r="58">
      <c r="D58" s="9" t="n"/>
      <c r="E58" s="9" t="n"/>
      <c r="F58" s="9" t="n"/>
      <c r="G58" s="9" t="n"/>
      <c r="H58" s="9">
        <f>IF(G58="","",IF(C58="LONG",G58-D58,IF(C58="SHORT",D58-G58,0)))</f>
        <v/>
      </c>
      <c r="I58">
        <f>IF(H58="","",ROUND(H58/ABS(D58-E58),2)&amp;"R")</f>
        <v/>
      </c>
    </row>
    <row r="59">
      <c r="D59" s="9" t="n"/>
      <c r="E59" s="9" t="n"/>
      <c r="F59" s="9" t="n"/>
      <c r="G59" s="9" t="n"/>
      <c r="H59" s="9">
        <f>IF(G59="","",IF(C59="LONG",G59-D59,IF(C59="SHORT",D59-G59,0)))</f>
        <v/>
      </c>
      <c r="I59">
        <f>IF(H59="","",ROUND(H59/ABS(D59-E59),2)&amp;"R")</f>
        <v/>
      </c>
    </row>
    <row r="60">
      <c r="D60" s="9" t="n"/>
      <c r="E60" s="9" t="n"/>
      <c r="F60" s="9" t="n"/>
      <c r="G60" s="9" t="n"/>
      <c r="H60" s="9">
        <f>IF(G60="","",IF(C60="LONG",G60-D60,IF(C60="SHORT",D60-G60,0)))</f>
        <v/>
      </c>
      <c r="I60">
        <f>IF(H60="","",ROUND(H60/ABS(D60-E60),2)&amp;"R")</f>
        <v/>
      </c>
    </row>
    <row r="61">
      <c r="D61" s="9" t="n"/>
      <c r="E61" s="9" t="n"/>
      <c r="F61" s="9" t="n"/>
      <c r="G61" s="9" t="n"/>
      <c r="H61" s="9">
        <f>IF(G61="","",IF(C61="LONG",G61-D61,IF(C61="SHORT",D61-G61,0)))</f>
        <v/>
      </c>
      <c r="I61">
        <f>IF(H61="","",ROUND(H61/ABS(D61-E61),2)&amp;"R")</f>
        <v/>
      </c>
    </row>
    <row r="62">
      <c r="D62" s="9" t="n"/>
      <c r="E62" s="9" t="n"/>
      <c r="F62" s="9" t="n"/>
      <c r="G62" s="9" t="n"/>
      <c r="H62" s="9">
        <f>IF(G62="","",IF(C62="LONG",G62-D62,IF(C62="SHORT",D62-G62,0)))</f>
        <v/>
      </c>
      <c r="I62">
        <f>IF(H62="","",ROUND(H62/ABS(D62-E62),2)&amp;"R")</f>
        <v/>
      </c>
    </row>
    <row r="63">
      <c r="D63" s="9" t="n"/>
      <c r="E63" s="9" t="n"/>
      <c r="F63" s="9" t="n"/>
      <c r="G63" s="9" t="n"/>
      <c r="H63" s="9">
        <f>IF(G63="","",IF(C63="LONG",G63-D63,IF(C63="SHORT",D63-G63,0)))</f>
        <v/>
      </c>
      <c r="I63">
        <f>IF(H63="","",ROUND(H63/ABS(D63-E63),2)&amp;"R")</f>
        <v/>
      </c>
    </row>
    <row r="64">
      <c r="D64" s="9" t="n"/>
      <c r="E64" s="9" t="n"/>
      <c r="F64" s="9" t="n"/>
      <c r="G64" s="9" t="n"/>
      <c r="H64" s="9">
        <f>IF(G64="","",IF(C64="LONG",G64-D64,IF(C64="SHORT",D64-G64,0)))</f>
        <v/>
      </c>
      <c r="I64">
        <f>IF(H64="","",ROUND(H64/ABS(D64-E64),2)&amp;"R")</f>
        <v/>
      </c>
    </row>
    <row r="65">
      <c r="D65" s="9" t="n"/>
      <c r="E65" s="9" t="n"/>
      <c r="F65" s="9" t="n"/>
      <c r="G65" s="9" t="n"/>
      <c r="H65" s="9">
        <f>IF(G65="","",IF(C65="LONG",G65-D65,IF(C65="SHORT",D65-G65,0)))</f>
        <v/>
      </c>
      <c r="I65">
        <f>IF(H65="","",ROUND(H65/ABS(D65-E65),2)&amp;"R")</f>
        <v/>
      </c>
    </row>
    <row r="66">
      <c r="D66" s="9" t="n"/>
      <c r="E66" s="9" t="n"/>
      <c r="F66" s="9" t="n"/>
      <c r="G66" s="9" t="n"/>
      <c r="H66" s="9">
        <f>IF(G66="","",IF(C66="LONG",G66-D66,IF(C66="SHORT",D66-G66,0)))</f>
        <v/>
      </c>
      <c r="I66">
        <f>IF(H66="","",ROUND(H66/ABS(D66-E66),2)&amp;"R")</f>
        <v/>
      </c>
    </row>
    <row r="67">
      <c r="D67" s="9" t="n"/>
      <c r="E67" s="9" t="n"/>
      <c r="F67" s="9" t="n"/>
      <c r="G67" s="9" t="n"/>
      <c r="H67" s="9">
        <f>IF(G67="","",IF(C67="LONG",G67-D67,IF(C67="SHORT",D67-G67,0)))</f>
        <v/>
      </c>
      <c r="I67">
        <f>IF(H67="","",ROUND(H67/ABS(D67-E67),2)&amp;"R")</f>
        <v/>
      </c>
    </row>
    <row r="68">
      <c r="D68" s="9" t="n"/>
      <c r="E68" s="9" t="n"/>
      <c r="F68" s="9" t="n"/>
      <c r="G68" s="9" t="n"/>
      <c r="H68" s="9">
        <f>IF(G68="","",IF(C68="LONG",G68-D68,IF(C68="SHORT",D68-G68,0)))</f>
        <v/>
      </c>
      <c r="I68">
        <f>IF(H68="","",ROUND(H68/ABS(D68-E68),2)&amp;"R")</f>
        <v/>
      </c>
    </row>
    <row r="69">
      <c r="D69" s="9" t="n"/>
      <c r="E69" s="9" t="n"/>
      <c r="F69" s="9" t="n"/>
      <c r="G69" s="9" t="n"/>
      <c r="H69" s="9">
        <f>IF(G69="","",IF(C69="LONG",G69-D69,IF(C69="SHORT",D69-G69,0)))</f>
        <v/>
      </c>
      <c r="I69">
        <f>IF(H69="","",ROUND(H69/ABS(D69-E69),2)&amp;"R")</f>
        <v/>
      </c>
    </row>
    <row r="70">
      <c r="D70" s="9" t="n"/>
      <c r="E70" s="9" t="n"/>
      <c r="F70" s="9" t="n"/>
      <c r="G70" s="9" t="n"/>
      <c r="H70" s="9">
        <f>IF(G70="","",IF(C70="LONG",G70-D70,IF(C70="SHORT",D70-G70,0)))</f>
        <v/>
      </c>
      <c r="I70">
        <f>IF(H70="","",ROUND(H70/ABS(D70-E70),2)&amp;"R")</f>
        <v/>
      </c>
    </row>
    <row r="71">
      <c r="D71" s="9" t="n"/>
      <c r="E71" s="9" t="n"/>
      <c r="F71" s="9" t="n"/>
      <c r="G71" s="9" t="n"/>
      <c r="H71" s="9">
        <f>IF(G71="","",IF(C71="LONG",G71-D71,IF(C71="SHORT",D71-G71,0)))</f>
        <v/>
      </c>
      <c r="I71">
        <f>IF(H71="","",ROUND(H71/ABS(D71-E71),2)&amp;"R")</f>
        <v/>
      </c>
    </row>
    <row r="72">
      <c r="D72" s="9" t="n"/>
      <c r="E72" s="9" t="n"/>
      <c r="F72" s="9" t="n"/>
      <c r="G72" s="9" t="n"/>
      <c r="H72" s="9">
        <f>IF(G72="","",IF(C72="LONG",G72-D72,IF(C72="SHORT",D72-G72,0)))</f>
        <v/>
      </c>
      <c r="I72">
        <f>IF(H72="","",ROUND(H72/ABS(D72-E72),2)&amp;"R")</f>
        <v/>
      </c>
    </row>
    <row r="73">
      <c r="D73" s="9" t="n"/>
      <c r="E73" s="9" t="n"/>
      <c r="F73" s="9" t="n"/>
      <c r="G73" s="9" t="n"/>
      <c r="H73" s="9">
        <f>IF(G73="","",IF(C73="LONG",G73-D73,IF(C73="SHORT",D73-G73,0)))</f>
        <v/>
      </c>
      <c r="I73">
        <f>IF(H73="","",ROUND(H73/ABS(D73-E73),2)&amp;"R")</f>
        <v/>
      </c>
    </row>
    <row r="74">
      <c r="D74" s="9" t="n"/>
      <c r="E74" s="9" t="n"/>
      <c r="F74" s="9" t="n"/>
      <c r="G74" s="9" t="n"/>
      <c r="H74" s="9">
        <f>IF(G74="","",IF(C74="LONG",G74-D74,IF(C74="SHORT",D74-G74,0)))</f>
        <v/>
      </c>
      <c r="I74">
        <f>IF(H74="","",ROUND(H74/ABS(D74-E74),2)&amp;"R")</f>
        <v/>
      </c>
    </row>
    <row r="75">
      <c r="D75" s="9" t="n"/>
      <c r="E75" s="9" t="n"/>
      <c r="F75" s="9" t="n"/>
      <c r="G75" s="9" t="n"/>
      <c r="H75" s="9">
        <f>IF(G75="","",IF(C75="LONG",G75-D75,IF(C75="SHORT",D75-G75,0)))</f>
        <v/>
      </c>
      <c r="I75">
        <f>IF(H75="","",ROUND(H75/ABS(D75-E75),2)&amp;"R")</f>
        <v/>
      </c>
    </row>
    <row r="76">
      <c r="D76" s="9" t="n"/>
      <c r="E76" s="9" t="n"/>
      <c r="F76" s="9" t="n"/>
      <c r="G76" s="9" t="n"/>
      <c r="H76" s="9">
        <f>IF(G76="","",IF(C76="LONG",G76-D76,IF(C76="SHORT",D76-G76,0)))</f>
        <v/>
      </c>
      <c r="I76">
        <f>IF(H76="","",ROUND(H76/ABS(D76-E76),2)&amp;"R")</f>
        <v/>
      </c>
    </row>
    <row r="77">
      <c r="D77" s="9" t="n"/>
      <c r="E77" s="9" t="n"/>
      <c r="F77" s="9" t="n"/>
      <c r="G77" s="9" t="n"/>
      <c r="H77" s="9">
        <f>IF(G77="","",IF(C77="LONG",G77-D77,IF(C77="SHORT",D77-G77,0)))</f>
        <v/>
      </c>
      <c r="I77">
        <f>IF(H77="","",ROUND(H77/ABS(D77-E77),2)&amp;"R")</f>
        <v/>
      </c>
    </row>
    <row r="78">
      <c r="D78" s="9" t="n"/>
      <c r="E78" s="9" t="n"/>
      <c r="F78" s="9" t="n"/>
      <c r="G78" s="9" t="n"/>
      <c r="H78" s="9">
        <f>IF(G78="","",IF(C78="LONG",G78-D78,IF(C78="SHORT",D78-G78,0)))</f>
        <v/>
      </c>
      <c r="I78">
        <f>IF(H78="","",ROUND(H78/ABS(D78-E78),2)&amp;"R")</f>
        <v/>
      </c>
    </row>
    <row r="79">
      <c r="D79" s="9" t="n"/>
      <c r="E79" s="9" t="n"/>
      <c r="F79" s="9" t="n"/>
      <c r="G79" s="9" t="n"/>
      <c r="H79" s="9">
        <f>IF(G79="","",IF(C79="LONG",G79-D79,IF(C79="SHORT",D79-G79,0)))</f>
        <v/>
      </c>
      <c r="I79">
        <f>IF(H79="","",ROUND(H79/ABS(D79-E79),2)&amp;"R")</f>
        <v/>
      </c>
    </row>
    <row r="80">
      <c r="D80" s="9" t="n"/>
      <c r="E80" s="9" t="n"/>
      <c r="F80" s="9" t="n"/>
      <c r="G80" s="9" t="n"/>
      <c r="H80" s="9">
        <f>IF(G80="","",IF(C80="LONG",G80-D80,IF(C80="SHORT",D80-G80,0)))</f>
        <v/>
      </c>
      <c r="I80">
        <f>IF(H80="","",ROUND(H80/ABS(D80-E80),2)&amp;"R")</f>
        <v/>
      </c>
    </row>
    <row r="81">
      <c r="D81" s="9" t="n"/>
      <c r="E81" s="9" t="n"/>
      <c r="F81" s="9" t="n"/>
      <c r="G81" s="9" t="n"/>
      <c r="H81" s="9">
        <f>IF(G81="","",IF(C81="LONG",G81-D81,IF(C81="SHORT",D81-G81,0)))</f>
        <v/>
      </c>
      <c r="I81">
        <f>IF(H81="","",ROUND(H81/ABS(D81-E81),2)&amp;"R")</f>
        <v/>
      </c>
    </row>
    <row r="82">
      <c r="D82" s="9" t="n"/>
      <c r="E82" s="9" t="n"/>
      <c r="F82" s="9" t="n"/>
      <c r="G82" s="9" t="n"/>
      <c r="H82" s="9">
        <f>IF(G82="","",IF(C82="LONG",G82-D82,IF(C82="SHORT",D82-G82,0)))</f>
        <v/>
      </c>
      <c r="I82">
        <f>IF(H82="","",ROUND(H82/ABS(D82-E82),2)&amp;"R")</f>
        <v/>
      </c>
    </row>
    <row r="83">
      <c r="D83" s="9" t="n"/>
      <c r="E83" s="9" t="n"/>
      <c r="F83" s="9" t="n"/>
      <c r="G83" s="9" t="n"/>
      <c r="H83" s="9">
        <f>IF(G83="","",IF(C83="LONG",G83-D83,IF(C83="SHORT",D83-G83,0)))</f>
        <v/>
      </c>
      <c r="I83">
        <f>IF(H83="","",ROUND(H83/ABS(D83-E83),2)&amp;"R")</f>
        <v/>
      </c>
    </row>
    <row r="84">
      <c r="D84" s="9" t="n"/>
      <c r="E84" s="9" t="n"/>
      <c r="F84" s="9" t="n"/>
      <c r="G84" s="9" t="n"/>
      <c r="H84" s="9">
        <f>IF(G84="","",IF(C84="LONG",G84-D84,IF(C84="SHORT",D84-G84,0)))</f>
        <v/>
      </c>
      <c r="I84">
        <f>IF(H84="","",ROUND(H84/ABS(D84-E84),2)&amp;"R")</f>
        <v/>
      </c>
    </row>
    <row r="85">
      <c r="D85" s="9" t="n"/>
      <c r="E85" s="9" t="n"/>
      <c r="F85" s="9" t="n"/>
      <c r="G85" s="9" t="n"/>
      <c r="H85" s="9">
        <f>IF(G85="","",IF(C85="LONG",G85-D85,IF(C85="SHORT",D85-G85,0)))</f>
        <v/>
      </c>
      <c r="I85">
        <f>IF(H85="","",ROUND(H85/ABS(D85-E85),2)&amp;"R")</f>
        <v/>
      </c>
    </row>
    <row r="86">
      <c r="D86" s="9" t="n"/>
      <c r="E86" s="9" t="n"/>
      <c r="F86" s="9" t="n"/>
      <c r="G86" s="9" t="n"/>
      <c r="H86" s="9">
        <f>IF(G86="","",IF(C86="LONG",G86-D86,IF(C86="SHORT",D86-G86,0)))</f>
        <v/>
      </c>
      <c r="I86">
        <f>IF(H86="","",ROUND(H86/ABS(D86-E86),2)&amp;"R")</f>
        <v/>
      </c>
    </row>
    <row r="87">
      <c r="D87" s="9" t="n"/>
      <c r="E87" s="9" t="n"/>
      <c r="F87" s="9" t="n"/>
      <c r="G87" s="9" t="n"/>
      <c r="H87" s="9">
        <f>IF(G87="","",IF(C87="LONG",G87-D87,IF(C87="SHORT",D87-G87,0)))</f>
        <v/>
      </c>
      <c r="I87">
        <f>IF(H87="","",ROUND(H87/ABS(D87-E87),2)&amp;"R")</f>
        <v/>
      </c>
    </row>
    <row r="88">
      <c r="D88" s="9" t="n"/>
      <c r="E88" s="9" t="n"/>
      <c r="F88" s="9" t="n"/>
      <c r="G88" s="9" t="n"/>
      <c r="H88" s="9">
        <f>IF(G88="","",IF(C88="LONG",G88-D88,IF(C88="SHORT",D88-G88,0)))</f>
        <v/>
      </c>
      <c r="I88">
        <f>IF(H88="","",ROUND(H88/ABS(D88-E88),2)&amp;"R")</f>
        <v/>
      </c>
    </row>
    <row r="89">
      <c r="D89" s="9" t="n"/>
      <c r="E89" s="9" t="n"/>
      <c r="F89" s="9" t="n"/>
      <c r="G89" s="9" t="n"/>
      <c r="H89" s="9">
        <f>IF(G89="","",IF(C89="LONG",G89-D89,IF(C89="SHORT",D89-G89,0)))</f>
        <v/>
      </c>
      <c r="I89">
        <f>IF(H89="","",ROUND(H89/ABS(D89-E89),2)&amp;"R")</f>
        <v/>
      </c>
    </row>
    <row r="90">
      <c r="D90" s="9" t="n"/>
      <c r="E90" s="9" t="n"/>
      <c r="F90" s="9" t="n"/>
      <c r="G90" s="9" t="n"/>
      <c r="H90" s="9">
        <f>IF(G90="","",IF(C90="LONG",G90-D90,IF(C90="SHORT",D90-G90,0)))</f>
        <v/>
      </c>
      <c r="I90">
        <f>IF(H90="","",ROUND(H90/ABS(D90-E90),2)&amp;"R")</f>
        <v/>
      </c>
    </row>
    <row r="91">
      <c r="D91" s="9" t="n"/>
      <c r="E91" s="9" t="n"/>
      <c r="F91" s="9" t="n"/>
      <c r="G91" s="9" t="n"/>
      <c r="H91" s="9">
        <f>IF(G91="","",IF(C91="LONG",G91-D91,IF(C91="SHORT",D91-G91,0)))</f>
        <v/>
      </c>
      <c r="I91">
        <f>IF(H91="","",ROUND(H91/ABS(D91-E91),2)&amp;"R")</f>
        <v/>
      </c>
    </row>
    <row r="92">
      <c r="D92" s="9" t="n"/>
      <c r="E92" s="9" t="n"/>
      <c r="F92" s="9" t="n"/>
      <c r="G92" s="9" t="n"/>
      <c r="H92" s="9">
        <f>IF(G92="","",IF(C92="LONG",G92-D92,IF(C92="SHORT",D92-G92,0)))</f>
        <v/>
      </c>
      <c r="I92">
        <f>IF(H92="","",ROUND(H92/ABS(D92-E92),2)&amp;"R")</f>
        <v/>
      </c>
    </row>
    <row r="93">
      <c r="D93" s="9" t="n"/>
      <c r="E93" s="9" t="n"/>
      <c r="F93" s="9" t="n"/>
      <c r="G93" s="9" t="n"/>
      <c r="H93" s="9">
        <f>IF(G93="","",IF(C93="LONG",G93-D93,IF(C93="SHORT",D93-G93,0)))</f>
        <v/>
      </c>
      <c r="I93">
        <f>IF(H93="","",ROUND(H93/ABS(D93-E93),2)&amp;"R")</f>
        <v/>
      </c>
    </row>
    <row r="94">
      <c r="D94" s="9" t="n"/>
      <c r="E94" s="9" t="n"/>
      <c r="F94" s="9" t="n"/>
      <c r="G94" s="9" t="n"/>
      <c r="H94" s="9">
        <f>IF(G94="","",IF(C94="LONG",G94-D94,IF(C94="SHORT",D94-G94,0)))</f>
        <v/>
      </c>
      <c r="I94">
        <f>IF(H94="","",ROUND(H94/ABS(D94-E94),2)&amp;"R")</f>
        <v/>
      </c>
    </row>
    <row r="95">
      <c r="D95" s="9" t="n"/>
      <c r="E95" s="9" t="n"/>
      <c r="F95" s="9" t="n"/>
      <c r="G95" s="9" t="n"/>
      <c r="H95" s="9">
        <f>IF(G95="","",IF(C95="LONG",G95-D95,IF(C95="SHORT",D95-G95,0)))</f>
        <v/>
      </c>
      <c r="I95">
        <f>IF(H95="","",ROUND(H95/ABS(D95-E95),2)&amp;"R")</f>
        <v/>
      </c>
    </row>
    <row r="96">
      <c r="D96" s="9" t="n"/>
      <c r="E96" s="9" t="n"/>
      <c r="F96" s="9" t="n"/>
      <c r="G96" s="9" t="n"/>
      <c r="H96" s="9">
        <f>IF(G96="","",IF(C96="LONG",G96-D96,IF(C96="SHORT",D96-G96,0)))</f>
        <v/>
      </c>
      <c r="I96">
        <f>IF(H96="","",ROUND(H96/ABS(D96-E96),2)&amp;"R")</f>
        <v/>
      </c>
    </row>
    <row r="97">
      <c r="D97" s="9" t="n"/>
      <c r="E97" s="9" t="n"/>
      <c r="F97" s="9" t="n"/>
      <c r="G97" s="9" t="n"/>
      <c r="H97" s="9">
        <f>IF(G97="","",IF(C97="LONG",G97-D97,IF(C97="SHORT",D97-G97,0)))</f>
        <v/>
      </c>
      <c r="I97">
        <f>IF(H97="","",ROUND(H97/ABS(D97-E97),2)&amp;"R")</f>
        <v/>
      </c>
    </row>
    <row r="98">
      <c r="D98" s="9" t="n"/>
      <c r="E98" s="9" t="n"/>
      <c r="F98" s="9" t="n"/>
      <c r="G98" s="9" t="n"/>
      <c r="H98" s="9">
        <f>IF(G98="","",IF(C98="LONG",G98-D98,IF(C98="SHORT",D98-G98,0)))</f>
        <v/>
      </c>
      <c r="I98">
        <f>IF(H98="","",ROUND(H98/ABS(D98-E98),2)&amp;"R")</f>
        <v/>
      </c>
    </row>
    <row r="99">
      <c r="D99" s="9" t="n"/>
      <c r="E99" s="9" t="n"/>
      <c r="F99" s="9" t="n"/>
      <c r="G99" s="9" t="n"/>
      <c r="H99" s="9">
        <f>IF(G99="","",IF(C99="LONG",G99-D99,IF(C99="SHORT",D99-G99,0)))</f>
        <v/>
      </c>
      <c r="I99">
        <f>IF(H99="","",ROUND(H99/ABS(D99-E99),2)&amp;"R")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2026-01-31T17:53:39Z</dcterms:created>
  <dcterms:modified xsi:type="dcterms:W3CDTF">2026-01-31T17:53:39Z</dcterms:modified>
</cp:coreProperties>
</file>